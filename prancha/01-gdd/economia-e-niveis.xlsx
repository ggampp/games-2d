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Materiais" sheetId="2" state="visible" r:id="rId4"/>
    <sheet name="Niveis" sheetId="3" state="visible" r:id="rId5"/>
    <sheet name="Estrelas" sheetId="4" state="visible" r:id="rId6"/>
    <sheet name="Tutorial" sheetId="5" state="visible" r:id="rId7"/>
  </sheets>
  <definedNames>
    <definedName function="false" hidden="true" localSheetId="2" name="_xlnm._FilterDatabase" vbProcedure="false">Niveis!$B$4:$L$28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<sst xmlns="http://schemas.openxmlformats.org/spreadsheetml/2006/main" count="296" uniqueCount="230">
  <si>
    <t xml:space="preserve">PRANCHA — Premissas de economia (inputs em azul)</t>
  </si>
  <si>
    <t xml:space="preserve">Parâmetro</t>
  </si>
  <si>
    <t xml:space="preserve">Valor</t>
  </si>
  <si>
    <t xml:space="preserve">Unidade</t>
  </si>
  <si>
    <t xml:space="preserve">Notas</t>
  </si>
  <si>
    <t xml:space="preserve">Custo madeira</t>
  </si>
  <si>
    <t xml:space="preserve">R$/m</t>
  </si>
  <si>
    <t xml:space="preserve">Escoramento / barra leve</t>
  </si>
  <si>
    <t xml:space="preserve">Custo aço estrutural</t>
  </si>
  <si>
    <t xml:space="preserve">Perfil I / treliça</t>
  </si>
  <si>
    <t xml:space="preserve">Custo concreto</t>
  </si>
  <si>
    <t xml:space="preserve">Equivalente de seção de tabuleiro/pilar</t>
  </si>
  <si>
    <t xml:space="preserve">Custo cabo</t>
  </si>
  <si>
    <t xml:space="preserve">Somente tração</t>
  </si>
  <si>
    <t xml:space="preserve">Custo apoio elastomérico</t>
  </si>
  <si>
    <t xml:space="preserve">R$/un</t>
  </si>
  <si>
    <t xml:space="preserve">Permite rotação</t>
  </si>
  <si>
    <t xml:space="preserve">Custo encontro extra</t>
  </si>
  <si>
    <t xml:space="preserve">Fundação adicional</t>
  </si>
  <si>
    <t xml:space="preserve">Resistência madeira (rel)</t>
  </si>
  <si>
    <t xml:space="preserve">adim.</t>
  </si>
  <si>
    <t xml:space="preserve">1.00 = aço</t>
  </si>
  <si>
    <t xml:space="preserve">Resistência aço (rel)</t>
  </si>
  <si>
    <t xml:space="preserve">Referência</t>
  </si>
  <si>
    <t xml:space="preserve">Resistência concreto comp.</t>
  </si>
  <si>
    <t xml:space="preserve">Compressão</t>
  </si>
  <si>
    <t xml:space="preserve">Resistência concreto tração</t>
  </si>
  <si>
    <t xml:space="preserve">Sem armadura extra</t>
  </si>
  <si>
    <t xml:space="preserve">Resistência cabo tração</t>
  </si>
  <si>
    <t xml:space="preserve">Cabo não resiste compressão</t>
  </si>
  <si>
    <t xml:space="preserve">Peso madeira</t>
  </si>
  <si>
    <t xml:space="preserve">Relativo ao aço</t>
  </si>
  <si>
    <t xml:space="preserve">Peso aço</t>
  </si>
  <si>
    <t xml:space="preserve">Peso concreto</t>
  </si>
  <si>
    <t xml:space="preserve">Peso cabo</t>
  </si>
  <si>
    <t xml:space="preserve">FS alvo 3 estrelas</t>
  </si>
  <si>
    <t xml:space="preserve">Fator de segurança</t>
  </si>
  <si>
    <t xml:space="preserve">FS mínimo para passar</t>
  </si>
  <si>
    <t xml:space="preserve">Abaixo = colapso ou reprova</t>
  </si>
  <si>
    <t xml:space="preserve">Limite de flecha</t>
  </si>
  <si>
    <t xml:space="preserve">L/x</t>
  </si>
  <si>
    <t xml:space="preserve">L/800</t>
  </si>
  <si>
    <t xml:space="preserve">Multiplicador orçamento folga</t>
  </si>
  <si>
    <t xml:space="preserve">x</t>
  </si>
  <si>
    <t xml:space="preserve">Orçamento = custo ref. * isto</t>
  </si>
  <si>
    <t xml:space="preserve">Custo mão de obra</t>
  </si>
  <si>
    <t xml:space="preserve">fração</t>
  </si>
  <si>
    <t xml:space="preserve">% sobre material</t>
  </si>
  <si>
    <t xml:space="preserve">Células amarelas / texto azul = inputs. Demais abas puxam estas premissas.</t>
  </si>
  <si>
    <t xml:space="preserve">Catálogo de materiais — PRANCHA</t>
  </si>
  <si>
    <t xml:space="preserve">Material</t>
  </si>
  <si>
    <t xml:space="preserve">Custo (R$/m)</t>
  </si>
  <si>
    <t xml:space="preserve">Tração</t>
  </si>
  <si>
    <t xml:space="preserve">Peso rel.</t>
  </si>
  <si>
    <t xml:space="preserve">Uso típico</t>
  </si>
  <si>
    <t xml:space="preserve">Cor UI</t>
  </si>
  <si>
    <t xml:space="preserve">Madeira</t>
  </si>
  <si>
    <t xml:space="preserve">Escora, banzo curto, teste inicial</t>
  </si>
  <si>
    <t xml:space="preserve">#B08968</t>
  </si>
  <si>
    <t xml:space="preserve">Aço estrutural</t>
  </si>
  <si>
    <t xml:space="preserve">Treliça, viga, pilar</t>
  </si>
  <si>
    <t xml:space="preserve">#8A9AA8</t>
  </si>
  <si>
    <t xml:space="preserve">Concreto</t>
  </si>
  <si>
    <t xml:space="preserve">Pilar, tabuleiro, encontro</t>
  </si>
  <si>
    <t xml:space="preserve">#C4BBB2</t>
  </si>
  <si>
    <t xml:space="preserve">Cabo de aço</t>
  </si>
  <si>
    <t xml:space="preserve">Estai, suspensão, tirante</t>
  </si>
  <si>
    <t xml:space="preserve">#D9E2EC</t>
  </si>
  <si>
    <t xml:space="preserve">Apoio elastomérico</t>
  </si>
  <si>
    <t xml:space="preserve">—</t>
  </si>
  <si>
    <t xml:space="preserve">Libera rotação no encontro</t>
  </si>
  <si>
    <t xml:space="preserve">#4A4A4A</t>
  </si>
  <si>
    <t xml:space="preserve">Campanha — 24 obras (6 biomas × 4 níveis)</t>
  </si>
  <si>
    <t xml:space="preserve">ID</t>
  </si>
  <si>
    <t xml:space="preserve">Bioma</t>
  </si>
  <si>
    <t xml:space="preserve">Nome da obra</t>
  </si>
  <si>
    <t xml:space="preserve">Vão (m)</t>
  </si>
  <si>
    <t xml:space="preserve">Carga</t>
  </si>
  <si>
    <t xml:space="preserve">Restrição-mestre</t>
  </si>
  <si>
    <t xml:space="preserve">Orçamento (R$)</t>
  </si>
  <si>
    <t xml:space="preserve">FS 3★</t>
  </si>
  <si>
    <t xml:space="preserve">Ensina</t>
  </si>
  <si>
    <t xml:space="preserve">Tutorial?</t>
  </si>
  <si>
    <t xml:space="preserve">Estrelas máx. ref.</t>
  </si>
  <si>
    <t xml:space="preserve">Planície</t>
  </si>
  <si>
    <t xml:space="preserve">Córrego do Aprendiz</t>
  </si>
  <si>
    <t xml:space="preserve">Van 3 t</t>
  </si>
  <si>
    <t xml:space="preserve">Nenhuma — só atravessar</t>
  </si>
  <si>
    <t xml:space="preserve">Nós, barras, testar</t>
  </si>
  <si>
    <t xml:space="preserve">Sim</t>
  </si>
  <si>
    <t xml:space="preserve">Ponte do Sítio</t>
  </si>
  <si>
    <t xml:space="preserve">Caminhão 8 t</t>
  </si>
  <si>
    <t xml:space="preserve">Orçamento apertado</t>
  </si>
  <si>
    <t xml:space="preserve">Não overbuildar</t>
  </si>
  <si>
    <t xml:space="preserve">Rio do Meio</t>
  </si>
  <si>
    <t xml:space="preserve">Ônibus 12 t</t>
  </si>
  <si>
    <t xml:space="preserve">Cabo disponível</t>
  </si>
  <si>
    <t xml:space="preserve">Tração ≠ compressão</t>
  </si>
  <si>
    <t xml:space="preserve">Passagem da Colheita</t>
  </si>
  <si>
    <t xml:space="preserve">Bitrem 32 t</t>
  </si>
  <si>
    <t xml:space="preserve">Carga pesada lenta</t>
  </si>
  <si>
    <t xml:space="preserve">Carga móvel simples</t>
  </si>
  <si>
    <t xml:space="preserve">Não</t>
  </si>
  <si>
    <t xml:space="preserve">Canyon</t>
  </si>
  <si>
    <t xml:space="preserve">Fenda Seca</t>
  </si>
  <si>
    <t xml:space="preserve">Caminhão 12 t</t>
  </si>
  <si>
    <t xml:space="preserve">Encontros altos / flambagem</t>
  </si>
  <si>
    <t xml:space="preserve">Pilar esbelto</t>
  </si>
  <si>
    <t xml:space="preserve">Vão do Gavião</t>
  </si>
  <si>
    <t xml:space="preserve">Dois carros</t>
  </si>
  <si>
    <t xml:space="preserve">Pouco aço no canteiro</t>
  </si>
  <si>
    <t xml:space="preserve">Treliça eficiente</t>
  </si>
  <si>
    <t xml:space="preserve">Corte da Pedra</t>
  </si>
  <si>
    <t xml:space="preserve">Caminhão 16 t</t>
  </si>
  <si>
    <t xml:space="preserve">Proibido pilar no leito</t>
  </si>
  <si>
    <t xml:space="preserve">Vão livre obrigatório</t>
  </si>
  <si>
    <t xml:space="preserve">Abismo Norte</t>
  </si>
  <si>
    <t xml:space="preserve">Bitrem 36 t</t>
  </si>
  <si>
    <t xml:space="preserve">Orçamento + vão livre</t>
  </si>
  <si>
    <t xml:space="preserve">Duas restrições</t>
  </si>
  <si>
    <t xml:space="preserve">Estuário</t>
  </si>
  <si>
    <t xml:space="preserve">Maré Baixa</t>
  </si>
  <si>
    <t xml:space="preserve">Van + vento leve</t>
  </si>
  <si>
    <t xml:space="preserve">Nível d'água sobe no 2º teste</t>
  </si>
  <si>
    <t xml:space="preserve">Peso hidrostático</t>
  </si>
  <si>
    <t xml:space="preserve">Canal do Porto</t>
  </si>
  <si>
    <t xml:space="preserve">Caminhão 14 t</t>
  </si>
  <si>
    <t xml:space="preserve">Gabarito náutico 8 m</t>
  </si>
  <si>
    <t xml:space="preserve">Altura livre</t>
  </si>
  <si>
    <t xml:space="preserve">Foz do Itajaí</t>
  </si>
  <si>
    <t xml:space="preserve">Bitrem 40 t</t>
  </si>
  <si>
    <t xml:space="preserve">Gabarito 10 m + maré</t>
  </si>
  <si>
    <t xml:space="preserve">Combo ambiental</t>
  </si>
  <si>
    <t xml:space="preserve">Porto Noturno</t>
  </si>
  <si>
    <t xml:space="preserve">Duas cargas opostas</t>
  </si>
  <si>
    <t xml:space="preserve">Tráfego simultâneo</t>
  </si>
  <si>
    <t xml:space="preserve">Momentos invertidos</t>
  </si>
  <si>
    <t xml:space="preserve">Serra</t>
  </si>
  <si>
    <t xml:space="preserve">Camada de Vento</t>
  </si>
  <si>
    <t xml:space="preserve">Ônibus 14 t</t>
  </si>
  <si>
    <t xml:space="preserve">Vento 70 km/h</t>
  </si>
  <si>
    <t xml:space="preserve">Contra-ventamento</t>
  </si>
  <si>
    <t xml:space="preserve">Serra do Rio do Rastro</t>
  </si>
  <si>
    <t xml:space="preserve">Vento 90 km/h</t>
  </si>
  <si>
    <t xml:space="preserve">Cabos + rigidez lateral</t>
  </si>
  <si>
    <t xml:space="preserve">Pico do Corcovado SC</t>
  </si>
  <si>
    <t xml:space="preserve">Van + vento rajada</t>
  </si>
  <si>
    <t xml:space="preserve">Rajadas no ensaio</t>
  </si>
  <si>
    <t xml:space="preserve">Carga variável no tempo</t>
  </si>
  <si>
    <t xml:space="preserve">Passagem Austral</t>
  </si>
  <si>
    <t xml:space="preserve">Vento + orçamento</t>
  </si>
  <si>
    <t xml:space="preserve">Boss do bioma</t>
  </si>
  <si>
    <t xml:space="preserve">Mangue</t>
  </si>
  <si>
    <t xml:space="preserve">Solo Mole I</t>
  </si>
  <si>
    <t xml:space="preserve">Caminhão 10 t</t>
  </si>
  <si>
    <t xml:space="preserve">Fundação cara</t>
  </si>
  <si>
    <t xml:space="preserve">Poucos pilares</t>
  </si>
  <si>
    <t xml:space="preserve">Estrada da Vila</t>
  </si>
  <si>
    <t xml:space="preserve">Recalque diferencial</t>
  </si>
  <si>
    <t xml:space="preserve">Apoios flexíveis</t>
  </si>
  <si>
    <t xml:space="preserve">Canal do Siri</t>
  </si>
  <si>
    <t xml:space="preserve">Bitrem 28 t</t>
  </si>
  <si>
    <t xml:space="preserve">Proibido encontro no mangue D</t>
  </si>
  <si>
    <t xml:space="preserve">Vão assimétrico</t>
  </si>
  <si>
    <t xml:space="preserve">Baía Enterrada</t>
  </si>
  <si>
    <t xml:space="preserve">Caminhão 18 t</t>
  </si>
  <si>
    <t xml:space="preserve">Solo + maré</t>
  </si>
  <si>
    <t xml:space="preserve">Combo solo/água</t>
  </si>
  <si>
    <t xml:space="preserve">Urbano</t>
  </si>
  <si>
    <t xml:space="preserve">Linha do Metrô</t>
  </si>
  <si>
    <t xml:space="preserve">Metrô 80 t eq.</t>
  </si>
  <si>
    <t xml:space="preserve">Gabarito ferroviário</t>
  </si>
  <si>
    <t xml:space="preserve">Flecha rigorosa</t>
  </si>
  <si>
    <t xml:space="preserve">Obra em Etapas</t>
  </si>
  <si>
    <t xml:space="preserve">Escorar → concretar → tirar escora</t>
  </si>
  <si>
    <t xml:space="preserve">Peso construtivo</t>
  </si>
  <si>
    <t xml:space="preserve">Patrimônio Centro</t>
  </si>
  <si>
    <t xml:space="preserve">Não demolir arco existente</t>
  </si>
  <si>
    <t xml:space="preserve">Reforço</t>
  </si>
  <si>
    <t xml:space="preserve">Hercílio Luz — Set-piece</t>
  </si>
  <si>
    <t xml:space="preserve">Trem turístico 28 t</t>
  </si>
  <si>
    <t xml:space="preserve">Vento 90 + gabarito 18 + patrimônio</t>
  </si>
  <si>
    <t xml:space="preserve">Boss final</t>
  </si>
  <si>
    <t xml:space="preserve">Orçamento = Vão × Custo do aço × fator de bioma × folga (Premissas!C23). Vão é input azul.</t>
  </si>
  <si>
    <t xml:space="preserve">Regra das 3 estrelas</t>
  </si>
  <si>
    <t xml:space="preserve">Estrela</t>
  </si>
  <si>
    <t xml:space="preserve">Condição</t>
  </si>
  <si>
    <t xml:space="preserve">Feedback no relatório</t>
  </si>
  <si>
    <t xml:space="preserve">★☆☆</t>
  </si>
  <si>
    <t xml:space="preserve">Veículo atravessa e a estrutura não colapsa (FS ≥ FS mínimo).</t>
  </si>
  <si>
    <t xml:space="preserve">APROVADO — estrutura em serviço</t>
  </si>
  <si>
    <t xml:space="preserve">★★☆</t>
  </si>
  <si>
    <t xml:space="preserve">Custo total ≤ orçamento da obra.</t>
  </si>
  <si>
    <t xml:space="preserve">DENTRO DO TETO — gestão ok</t>
  </si>
  <si>
    <t xml:space="preserve">★★★</t>
  </si>
  <si>
    <t xml:space="preserve">FS ≥ FS alvo 3★  OU  custo ≤ 80% do orçamento.</t>
  </si>
  <si>
    <t xml:space="preserve">SOLUÇÃO ELEGANTE — ART com elogio</t>
  </si>
  <si>
    <t xml:space="preserve">Reprovado: colapso, veículo cai, flecha &gt; L/limite, ou violação de gabarito/vento fatal.</t>
  </si>
  <si>
    <t xml:space="preserve">Script do tutorial (obras 01–03)</t>
  </si>
  <si>
    <t xml:space="preserve">Passo</t>
  </si>
  <si>
    <t xml:space="preserve">Obra</t>
  </si>
  <si>
    <t xml:space="preserve">O que o jogo mostra</t>
  </si>
  <si>
    <t xml:space="preserve">O que o jogador faz</t>
  </si>
  <si>
    <t xml:space="preserve">1</t>
  </si>
  <si>
    <t xml:space="preserve">01</t>
  </si>
  <si>
    <t xml:space="preserve">"O vão não perdoa. Comece pelos nós."</t>
  </si>
  <si>
    <t xml:space="preserve">Clicar encontro E e arrastar até D.</t>
  </si>
  <si>
    <t xml:space="preserve">2</t>
  </si>
  <si>
    <t xml:space="preserve">Snap magnético + cota em metros.</t>
  </si>
  <si>
    <t xml:space="preserve">Soltar a primeira barra de madeira.</t>
  </si>
  <si>
    <t xml:space="preserve">3</t>
  </si>
  <si>
    <t xml:space="preserve">Botão TESTAR CARGA pulsa.</t>
  </si>
  <si>
    <t xml:space="preserve">Rodar o ensaio da van 3 t.</t>
  </si>
  <si>
    <t xml:space="preserve">4</t>
  </si>
  <si>
    <t xml:space="preserve">Barras ficam verdes. 1 estrela.</t>
  </si>
  <si>
    <t xml:space="preserve">Avançar mesmo sem otimizar.</t>
  </si>
  <si>
    <t xml:space="preserve">5</t>
  </si>
  <si>
    <t xml:space="preserve">02</t>
  </si>
  <si>
    <t xml:space="preserve">Orçamento aparece em R$ e desce a cada metro.</t>
  </si>
  <si>
    <t xml:space="preserve">Reconstruir mais barato.</t>
  </si>
  <si>
    <t xml:space="preserve">6</t>
  </si>
  <si>
    <t xml:space="preserve">Treliça simples é sugerida por uma nota de canteiro.</t>
  </si>
  <si>
    <t xml:space="preserve">Descobrir triangulação.</t>
  </si>
  <si>
    <t xml:space="preserve">7</t>
  </si>
  <si>
    <t xml:space="preserve">03</t>
  </si>
  <si>
    <t xml:space="preserve">Cabo entra no catálogo. Tooltip: só tração.</t>
  </si>
  <si>
    <t xml:space="preserve">Usar cabo no banzo inferior ou estai.</t>
  </si>
  <si>
    <t xml:space="preserve">8</t>
  </si>
  <si>
    <t xml:space="preserve">Se o cabo flambar visualmente (empurra), ele folga.</t>
  </si>
  <si>
    <t xml:space="preserve">Corrigir e ganhar 3ª estrela.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</si>
</sst>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&quot;R$ &quot;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i val="true"/>
      <sz val="10"/>
      <color rgb="FFD1495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1B4F72"/>
        <bgColor rgb="FF333333"/>
      </patternFill>
    </fill>
    <fill>
      <patternFill patternType="solid">
        <fgColor rgb="FFFFF3BF"/>
        <bgColor rgb="FFFFFF99"/>
      </patternFill>
    </fill>
    <fill>
      <patternFill patternType="solid">
        <fgColor rgb="FFE8EEF4"/>
        <bgColor rgb="FFF9F9F9"/>
      </patternFill>
    </fill>
    <fill>
      <patternFill patternType="solid">
        <fgColor rgb="FFD4F5E9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0DA"/>
      </left>
      <right style="thin">
        <color rgb="FFC5D0DA"/>
      </right>
      <top style="thin">
        <color rgb="FFC5D0DA"/>
      </top>
      <bottom style="thin">
        <color rgb="FFC5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B4F72"/>
          <bgColor rgb="FF000000"/>
        </patternFill>
      </fill>
    </dxf>
    <dxf>
      <fill>
        <patternFill patternType="solid">
          <fgColor rgb="FFE8EE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B1F3A"/>
          <bgColor rgb="FF000000"/>
        </patternFill>
      </fill>
    </dxf>
    <dxf>
      <fill>
        <patternFill patternType="solid">
          <fgColor rgb="FFD4F5E9"/>
          <bgColor rgb="FF000000"/>
        </patternFill>
      </fill>
    </dxf>
    <dxf>
      <fill>
        <patternFill patternType="solid">
          <fgColor rgb="FFDCF5E1"/>
          <bgColor rgb="FF000000"/>
        </patternFill>
      </fill>
    </dxf>
    <dxf>
      <fill>
        <patternFill patternType="solid">
          <fgColor rgb="FFE5F5D9"/>
          <bgColor rgb="FF000000"/>
        </patternFill>
      </fill>
    </dxf>
    <dxf>
      <fill>
        <patternFill patternType="solid">
          <fgColor rgb="FFE9F4D4"/>
          <bgColor rgb="FF000000"/>
        </patternFill>
      </fill>
    </dxf>
    <dxf>
      <fill>
        <patternFill patternType="solid">
          <fgColor rgb="FFEDF4D0"/>
          <bgColor rgb="FF000000"/>
        </patternFill>
      </fill>
    </dxf>
    <dxf>
      <fill>
        <patternFill patternType="solid">
          <fgColor rgb="FFF2F4CC"/>
          <bgColor rgb="FF000000"/>
        </patternFill>
      </fill>
    </dxf>
    <dxf>
      <fill>
        <patternFill patternType="solid">
          <fgColor rgb="FFF5C6CB"/>
          <bgColor rgb="FF000000"/>
        </patternFill>
      </fill>
    </dxf>
    <dxf>
      <fill>
        <patternFill patternType="solid">
          <fgColor rgb="FFF6F4C8"/>
          <bgColor rgb="FF000000"/>
        </patternFill>
      </fill>
    </dxf>
    <dxf>
      <fill>
        <patternFill patternType="solid">
          <fgColor rgb="FFF8D0C8"/>
          <bgColor rgb="FF000000"/>
        </patternFill>
      </fill>
    </dxf>
    <dxf>
      <fill>
        <patternFill patternType="solid">
          <fgColor rgb="FFF9D5C7"/>
          <bgColor rgb="FF000000"/>
        </patternFill>
      </fill>
    </dxf>
    <dxf>
      <fill>
        <patternFill patternType="solid">
          <fgColor rgb="FFFADAC5"/>
          <bgColor rgb="FF000000"/>
        </patternFill>
      </fill>
    </dxf>
    <dxf>
      <fill>
        <patternFill patternType="solid">
          <fgColor rgb="FFFAF4C4"/>
          <bgColor rgb="FF000000"/>
        </patternFill>
      </fill>
    </dxf>
    <dxf>
      <fill>
        <patternFill patternType="solid">
          <fgColor rgb="FFFBDFC4"/>
          <bgColor rgb="FF000000"/>
        </patternFill>
      </fill>
    </dxf>
    <dxf>
      <fill>
        <patternFill patternType="solid">
          <fgColor rgb="FFFCE4C3"/>
          <bgColor rgb="FF000000"/>
        </patternFill>
      </fill>
    </dxf>
    <dxf>
      <fill>
        <patternFill patternType="solid">
          <fgColor rgb="FFFDE9C1"/>
          <bgColor rgb="FF000000"/>
        </patternFill>
      </fill>
    </dxf>
    <dxf>
      <fill>
        <patternFill patternType="solid">
          <fgColor rgb="FFFEEEC0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D1495B"/>
      <rgbColor rgb="FFFFF3BF"/>
      <rgbColor rgb="FFD4F5E9"/>
      <rgbColor rgb="FF660066"/>
      <rgbColor rgb="FFFF8080"/>
      <rgbColor rgb="FF0066CC"/>
      <rgbColor rgb="FFC5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F9F9F9"/>
      <rgbColor rgb="FFFFFF99"/>
      <rgbColor rgb="FF7EC8E3"/>
      <rgbColor rgb="FFFF99CC"/>
      <rgbColor rgb="FFCC99FF"/>
      <rgbColor rgb="FFFFCC99"/>
      <rgbColor rgb="FF4F81BD"/>
      <rgbColor rgb="FF3DDC97"/>
      <rgbColor rgb="FF99CC00"/>
      <rgbColor rgb="FFE6B84A"/>
      <rgbColor rgb="FFFF9900"/>
      <rgbColor rgb="FFFF6600"/>
      <rgbColor rgb="FF666666"/>
      <rgbColor rgb="FF8A9AA8"/>
      <rgbColor rgb="FF0B1F3A"/>
      <rgbColor rgb="FF339966"/>
      <rgbColor rgb="FF003300"/>
      <rgbColor rgb="FF333300"/>
      <rgbColor rgb="FF993300"/>
      <rgbColor rgb="FF993366"/>
      <rgbColor rgb="FF1B4F7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Vão por obra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Niveis!E4</c:f>
              <c:strCache>
                <c:ptCount val="1"/>
                <c:pt idx="0">
                  <c:v>Vão (m)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Niveis!$B$5:$B$28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Niveis!$E$5:$E$28</c:f>
              <c:numCache>
                <c:formatCode>General</c:formatCode>
                <c:ptCount val="24"/>
                <c:pt idx="0">
                  <c:v>14</c:v>
                </c:pt>
                <c:pt idx="1">
                  <c:v>18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  <c:pt idx="5">
                  <c:v>38</c:v>
                </c:pt>
                <c:pt idx="6">
                  <c:v>42</c:v>
                </c:pt>
                <c:pt idx="7">
                  <c:v>48</c:v>
                </c:pt>
                <c:pt idx="8">
                  <c:v>26</c:v>
                </c:pt>
                <c:pt idx="9">
                  <c:v>34</c:v>
                </c:pt>
                <c:pt idx="10">
                  <c:v>40</c:v>
                </c:pt>
                <c:pt idx="11">
                  <c:v>44</c:v>
                </c:pt>
                <c:pt idx="12">
                  <c:v>30</c:v>
                </c:pt>
                <c:pt idx="13">
                  <c:v>36</c:v>
                </c:pt>
                <c:pt idx="14">
                  <c:v>40</c:v>
                </c:pt>
                <c:pt idx="15">
                  <c:v>46</c:v>
                </c:pt>
                <c:pt idx="16">
                  <c:v>22</c:v>
                </c:pt>
                <c:pt idx="17">
                  <c:v>28</c:v>
                </c:pt>
                <c:pt idx="18">
                  <c:v>34</c:v>
                </c:pt>
                <c:pt idx="19">
                  <c:v>40</c:v>
                </c:pt>
                <c:pt idx="20">
                  <c:v>24</c:v>
                </c:pt>
                <c:pt idx="21">
                  <c:v>30</c:v>
                </c:pt>
                <c:pt idx="22">
                  <c:v>36</c:v>
                </c:pt>
                <c:pt idx="23">
                  <c:v>52</c:v>
                </c:pt>
              </c:numCache>
            </c:numRef>
          </c:val>
        </c:ser>
        <c:gapWidth val="150"/>
        <c:overlap val="0"/>
        <c:axId val="10677396"/>
        <c:axId val="45323282"/>
      </c:barChart>
      <c:catAx>
        <c:axId val="106773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23282"/>
        <c:crosses val="autoZero"/>
        <c:auto val="1"/>
        <c:lblAlgn val="ctr"/>
        <c:lblOffset val="100"/>
        <c:noMultiLvlLbl val="0"/>
      </c:catAx>
      <c:valAx>
        <c:axId val="453232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77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78120</xdr:rowOff>
    </xdr:from>
    <xdr:to>
      <xdr:col>6</xdr:col>
      <xdr:colOff>1263600</xdr:colOff>
      <xdr:row>44</xdr:row>
      <xdr:rowOff>100080</xdr:rowOff>
    </xdr:to>
    <xdr:graphicFrame>
      <xdr:nvGraphicFramePr>
        <xdr:cNvPr id="0" name="Chart 1"/>
        <xdr:cNvGraphicFramePr/>
      </xdr:nvGraphicFramePr>
      <xdr:xfrm>
        <a:off x="211320" y="6067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2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42"/>
    <col collapsed="false" customWidth="true" hidden="false" outlineLevel="0" max="7" min="6" style="0" width="16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21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</row>
    <row r="5" customFormat="false" ht="15" hidden="false" customHeight="false" outlineLevel="0" collapsed="false">
      <c r="B5" s="3" t="s">
        <v>5</v>
      </c>
      <c r="C5" s="4" t="n">
        <v>420</v>
      </c>
      <c r="D5" s="5" t="s">
        <v>6</v>
      </c>
      <c r="E5" s="6" t="s">
        <v>7</v>
      </c>
    </row>
    <row r="6" customFormat="false" ht="15" hidden="false" customHeight="false" outlineLevel="0" collapsed="false">
      <c r="B6" s="7" t="s">
        <v>8</v>
      </c>
      <c r="C6" s="4" t="n">
        <v>1860</v>
      </c>
      <c r="D6" s="8" t="s">
        <v>6</v>
      </c>
      <c r="E6" s="9" t="s">
        <v>9</v>
      </c>
    </row>
    <row r="7" customFormat="false" ht="15" hidden="false" customHeight="false" outlineLevel="0" collapsed="false">
      <c r="B7" s="3" t="s">
        <v>10</v>
      </c>
      <c r="C7" s="4" t="n">
        <v>980</v>
      </c>
      <c r="D7" s="5" t="s">
        <v>6</v>
      </c>
      <c r="E7" s="6" t="s">
        <v>11</v>
      </c>
    </row>
    <row r="8" customFormat="false" ht="15" hidden="false" customHeight="false" outlineLevel="0" collapsed="false">
      <c r="B8" s="7" t="s">
        <v>12</v>
      </c>
      <c r="C8" s="4" t="n">
        <v>1240</v>
      </c>
      <c r="D8" s="8" t="s">
        <v>6</v>
      </c>
      <c r="E8" s="9" t="s">
        <v>13</v>
      </c>
    </row>
    <row r="9" customFormat="false" ht="15" hidden="false" customHeight="false" outlineLevel="0" collapsed="false">
      <c r="B9" s="3" t="s">
        <v>14</v>
      </c>
      <c r="C9" s="4" t="n">
        <v>8500</v>
      </c>
      <c r="D9" s="5" t="s">
        <v>15</v>
      </c>
      <c r="E9" s="6" t="s">
        <v>16</v>
      </c>
    </row>
    <row r="10" customFormat="false" ht="15" hidden="false" customHeight="false" outlineLevel="0" collapsed="false">
      <c r="B10" s="7" t="s">
        <v>17</v>
      </c>
      <c r="C10" s="4" t="n">
        <v>28000</v>
      </c>
      <c r="D10" s="8" t="s">
        <v>15</v>
      </c>
      <c r="E10" s="9" t="s">
        <v>18</v>
      </c>
    </row>
    <row r="11" customFormat="false" ht="15" hidden="false" customHeight="false" outlineLevel="0" collapsed="false">
      <c r="B11" s="3" t="s">
        <v>19</v>
      </c>
      <c r="C11" s="10" t="n">
        <v>0.35</v>
      </c>
      <c r="D11" s="5" t="s">
        <v>20</v>
      </c>
      <c r="E11" s="6" t="s">
        <v>21</v>
      </c>
    </row>
    <row r="12" customFormat="false" ht="15" hidden="false" customHeight="false" outlineLevel="0" collapsed="false">
      <c r="B12" s="7" t="s">
        <v>22</v>
      </c>
      <c r="C12" s="10" t="n">
        <v>1</v>
      </c>
      <c r="D12" s="8" t="s">
        <v>20</v>
      </c>
      <c r="E12" s="9" t="s">
        <v>23</v>
      </c>
    </row>
    <row r="13" customFormat="false" ht="15" hidden="false" customHeight="false" outlineLevel="0" collapsed="false">
      <c r="B13" s="3" t="s">
        <v>24</v>
      </c>
      <c r="C13" s="10" t="n">
        <v>0.85</v>
      </c>
      <c r="D13" s="5" t="s">
        <v>20</v>
      </c>
      <c r="E13" s="6" t="s">
        <v>25</v>
      </c>
    </row>
    <row r="14" customFormat="false" ht="15" hidden="false" customHeight="false" outlineLevel="0" collapsed="false">
      <c r="B14" s="7" t="s">
        <v>26</v>
      </c>
      <c r="C14" s="10" t="n">
        <v>0.12</v>
      </c>
      <c r="D14" s="8" t="s">
        <v>20</v>
      </c>
      <c r="E14" s="9" t="s">
        <v>27</v>
      </c>
    </row>
    <row r="15" customFormat="false" ht="15" hidden="false" customHeight="false" outlineLevel="0" collapsed="false">
      <c r="B15" s="3" t="s">
        <v>28</v>
      </c>
      <c r="C15" s="10" t="n">
        <v>1.35</v>
      </c>
      <c r="D15" s="5" t="s">
        <v>20</v>
      </c>
      <c r="E15" s="6" t="s">
        <v>29</v>
      </c>
    </row>
    <row r="16" customFormat="false" ht="15" hidden="false" customHeight="false" outlineLevel="0" collapsed="false">
      <c r="B16" s="7" t="s">
        <v>30</v>
      </c>
      <c r="C16" s="10" t="n">
        <v>0.4</v>
      </c>
      <c r="D16" s="8" t="s">
        <v>20</v>
      </c>
      <c r="E16" s="9" t="s">
        <v>31</v>
      </c>
    </row>
    <row r="17" customFormat="false" ht="15" hidden="false" customHeight="false" outlineLevel="0" collapsed="false">
      <c r="B17" s="3" t="s">
        <v>32</v>
      </c>
      <c r="C17" s="10" t="n">
        <v>1</v>
      </c>
      <c r="D17" s="5" t="s">
        <v>20</v>
      </c>
      <c r="E17" s="6"/>
    </row>
    <row r="18" customFormat="false" ht="15" hidden="false" customHeight="false" outlineLevel="0" collapsed="false">
      <c r="B18" s="7" t="s">
        <v>33</v>
      </c>
      <c r="C18" s="10" t="n">
        <v>1.45</v>
      </c>
      <c r="D18" s="8" t="s">
        <v>20</v>
      </c>
      <c r="E18" s="9"/>
    </row>
    <row r="19" customFormat="false" ht="15" hidden="false" customHeight="false" outlineLevel="0" collapsed="false">
      <c r="B19" s="3" t="s">
        <v>34</v>
      </c>
      <c r="C19" s="10" t="n">
        <v>0.22</v>
      </c>
      <c r="D19" s="5" t="s">
        <v>20</v>
      </c>
      <c r="E19" s="6"/>
    </row>
    <row r="20" customFormat="false" ht="15" hidden="false" customHeight="false" outlineLevel="0" collapsed="false">
      <c r="B20" s="7" t="s">
        <v>35</v>
      </c>
      <c r="C20" s="10" t="n">
        <v>1.8</v>
      </c>
      <c r="D20" s="8" t="s">
        <v>20</v>
      </c>
      <c r="E20" s="9" t="s">
        <v>36</v>
      </c>
    </row>
    <row r="21" customFormat="false" ht="15" hidden="false" customHeight="false" outlineLevel="0" collapsed="false">
      <c r="B21" s="3" t="s">
        <v>37</v>
      </c>
      <c r="C21" s="10" t="n">
        <v>1.15</v>
      </c>
      <c r="D21" s="5" t="s">
        <v>20</v>
      </c>
      <c r="E21" s="6" t="s">
        <v>38</v>
      </c>
    </row>
    <row r="22" customFormat="false" ht="15" hidden="false" customHeight="false" outlineLevel="0" collapsed="false">
      <c r="B22" s="7" t="s">
        <v>39</v>
      </c>
      <c r="C22" s="4" t="n">
        <v>800</v>
      </c>
      <c r="D22" s="8" t="s">
        <v>40</v>
      </c>
      <c r="E22" s="9" t="s">
        <v>41</v>
      </c>
    </row>
    <row r="23" customFormat="false" ht="15" hidden="false" customHeight="false" outlineLevel="0" collapsed="false">
      <c r="B23" s="3" t="s">
        <v>42</v>
      </c>
      <c r="C23" s="10" t="n">
        <v>1.35</v>
      </c>
      <c r="D23" s="5" t="s">
        <v>43</v>
      </c>
      <c r="E23" s="6" t="s">
        <v>44</v>
      </c>
    </row>
    <row r="24" customFormat="false" ht="15" hidden="false" customHeight="false" outlineLevel="0" collapsed="false">
      <c r="B24" s="7" t="s">
        <v>45</v>
      </c>
      <c r="C24" s="10" t="n">
        <v>0.18</v>
      </c>
      <c r="D24" s="8" t="s">
        <v>46</v>
      </c>
      <c r="E24" s="9" t="s">
        <v>47</v>
      </c>
    </row>
    <row r="26" customFormat="false" ht="15" hidden="false" customHeight="false" outlineLevel="0" collapsed="false">
      <c r="B26" s="11" t="s">
        <v>48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&amp;LPRANCHA — economia e progressão</oddHeader>
    <oddFooter>&amp;RPág.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AA8"/>
    <pageSetUpPr fitToPage="tru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6"/>
    <col collapsed="false" customWidth="true" hidden="false" outlineLevel="0" max="8" min="8" style="0" width="12"/>
  </cols>
  <sheetData>
    <row r="2" customFormat="false" ht="27.75" hidden="false" customHeight="true" outlineLevel="0" collapsed="false">
      <c r="B2" s="12" t="s">
        <v>49</v>
      </c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B4" s="2" t="s">
        <v>50</v>
      </c>
      <c r="C4" s="2" t="s">
        <v>51</v>
      </c>
      <c r="D4" s="2" t="s">
        <v>52</v>
      </c>
      <c r="E4" s="2" t="s">
        <v>25</v>
      </c>
      <c r="F4" s="2" t="s">
        <v>53</v>
      </c>
      <c r="G4" s="2" t="s">
        <v>54</v>
      </c>
      <c r="H4" s="2" t="s">
        <v>55</v>
      </c>
    </row>
    <row r="5" customFormat="false" ht="15" hidden="false" customHeight="false" outlineLevel="0" collapsed="false">
      <c r="B5" s="13" t="s">
        <v>56</v>
      </c>
      <c r="C5" s="14" t="n">
        <f aca="false">Premissas!C5</f>
        <v>420</v>
      </c>
      <c r="D5" s="15" t="n">
        <v>0.25</v>
      </c>
      <c r="E5" s="15" t="n">
        <f aca="false">Premissas!C11</f>
        <v>0.35</v>
      </c>
      <c r="F5" s="15" t="n">
        <f aca="false">Premissas!C16</f>
        <v>0.4</v>
      </c>
      <c r="G5" s="16" t="s">
        <v>57</v>
      </c>
      <c r="H5" s="13" t="s">
        <v>58</v>
      </c>
    </row>
    <row r="6" customFormat="false" ht="15" hidden="false" customHeight="false" outlineLevel="0" collapsed="false">
      <c r="B6" s="17" t="s">
        <v>59</v>
      </c>
      <c r="C6" s="18" t="n">
        <f aca="false">Premissas!C6</f>
        <v>1860</v>
      </c>
      <c r="D6" s="19" t="n">
        <f aca="false">Premissas!C12</f>
        <v>1</v>
      </c>
      <c r="E6" s="19" t="n">
        <f aca="false">Premissas!C12</f>
        <v>1</v>
      </c>
      <c r="F6" s="19" t="n">
        <f aca="false">Premissas!C17</f>
        <v>1</v>
      </c>
      <c r="G6" s="20" t="s">
        <v>60</v>
      </c>
      <c r="H6" s="17" t="s">
        <v>61</v>
      </c>
    </row>
    <row r="7" customFormat="false" ht="15" hidden="false" customHeight="false" outlineLevel="0" collapsed="false">
      <c r="B7" s="13" t="s">
        <v>62</v>
      </c>
      <c r="C7" s="14" t="n">
        <f aca="false">Premissas!C7</f>
        <v>980</v>
      </c>
      <c r="D7" s="15" t="n">
        <f aca="false">Premissas!C14</f>
        <v>0.12</v>
      </c>
      <c r="E7" s="15" t="n">
        <f aca="false">Premissas!C13</f>
        <v>0.85</v>
      </c>
      <c r="F7" s="15" t="n">
        <f aca="false">Premissas!C18</f>
        <v>1.45</v>
      </c>
      <c r="G7" s="16" t="s">
        <v>63</v>
      </c>
      <c r="H7" s="13" t="s">
        <v>64</v>
      </c>
    </row>
    <row r="8" customFormat="false" ht="15" hidden="false" customHeight="false" outlineLevel="0" collapsed="false">
      <c r="B8" s="17" t="s">
        <v>65</v>
      </c>
      <c r="C8" s="18" t="n">
        <f aca="false">Premissas!C8</f>
        <v>1240</v>
      </c>
      <c r="D8" s="19" t="n">
        <f aca="false">Premissas!C15</f>
        <v>1.35</v>
      </c>
      <c r="E8" s="19" t="n">
        <v>0</v>
      </c>
      <c r="F8" s="19" t="n">
        <f aca="false">Premissas!C19</f>
        <v>0.22</v>
      </c>
      <c r="G8" s="20" t="s">
        <v>66</v>
      </c>
      <c r="H8" s="17" t="s">
        <v>67</v>
      </c>
    </row>
    <row r="9" customFormat="false" ht="15" hidden="false" customHeight="false" outlineLevel="0" collapsed="false">
      <c r="B9" s="13" t="s">
        <v>68</v>
      </c>
      <c r="C9" s="14" t="n">
        <f aca="false">Premissas!C9</f>
        <v>8500</v>
      </c>
      <c r="D9" s="13" t="s">
        <v>69</v>
      </c>
      <c r="E9" s="13" t="s">
        <v>69</v>
      </c>
      <c r="F9" s="13" t="n">
        <v>0.15</v>
      </c>
      <c r="G9" s="16" t="s">
        <v>70</v>
      </c>
      <c r="H9" s="13" t="s">
        <v>71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&amp;LPRANCHA — economia e progressão</oddHeader>
    <oddFooter>&amp;RPág.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DC97"/>
    <pageSetUpPr fitToPage="true"/>
  </sheetPr>
  <dimension ref="B2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16"/>
  </cols>
  <sheetData>
    <row r="2" customFormat="false" ht="27.75" hidden="false" customHeight="true" outlineLevel="0" collapsed="false">
      <c r="B2" s="12" t="s">
        <v>72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customFormat="false" ht="30" hidden="false" customHeight="true" outlineLevel="0" collapsed="false"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80</v>
      </c>
      <c r="J4" s="2" t="s">
        <v>81</v>
      </c>
      <c r="K4" s="2" t="s">
        <v>82</v>
      </c>
      <c r="L4" s="2" t="s">
        <v>83</v>
      </c>
    </row>
    <row r="5" customFormat="false" ht="15" hidden="false" customHeight="false" outlineLevel="0" collapsed="false">
      <c r="B5" s="13" t="n">
        <v>1</v>
      </c>
      <c r="C5" s="13" t="s">
        <v>84</v>
      </c>
      <c r="D5" s="3" t="s">
        <v>85</v>
      </c>
      <c r="E5" s="21" t="n">
        <v>14</v>
      </c>
      <c r="F5" s="13" t="s">
        <v>86</v>
      </c>
      <c r="G5" s="16" t="s">
        <v>87</v>
      </c>
      <c r="H5" s="14" t="n">
        <f aca="false">E5*Materiais!C6*0.42*Premissas!C23</f>
        <v>14764.68</v>
      </c>
      <c r="I5" s="22" t="n">
        <f aca="false">Premissas!C20</f>
        <v>1.8</v>
      </c>
      <c r="J5" s="16" t="s">
        <v>88</v>
      </c>
      <c r="K5" s="23" t="s">
        <v>89</v>
      </c>
      <c r="L5" s="23" t="n">
        <v>3</v>
      </c>
    </row>
    <row r="6" customFormat="false" ht="15" hidden="false" customHeight="false" outlineLevel="0" collapsed="false">
      <c r="B6" s="17" t="n">
        <v>2</v>
      </c>
      <c r="C6" s="17" t="s">
        <v>84</v>
      </c>
      <c r="D6" s="7" t="s">
        <v>90</v>
      </c>
      <c r="E6" s="21" t="n">
        <v>18</v>
      </c>
      <c r="F6" s="17" t="s">
        <v>91</v>
      </c>
      <c r="G6" s="20" t="s">
        <v>92</v>
      </c>
      <c r="H6" s="18" t="n">
        <f aca="false">E6*Materiais!C6*0.42*Premissas!C23</f>
        <v>18983.16</v>
      </c>
      <c r="I6" s="24" t="n">
        <f aca="false">Premissas!C20</f>
        <v>1.8</v>
      </c>
      <c r="J6" s="20" t="s">
        <v>93</v>
      </c>
      <c r="K6" s="25" t="s">
        <v>89</v>
      </c>
      <c r="L6" s="25" t="n">
        <v>3</v>
      </c>
    </row>
    <row r="7" customFormat="false" ht="15" hidden="false" customHeight="false" outlineLevel="0" collapsed="false">
      <c r="B7" s="13" t="n">
        <v>3</v>
      </c>
      <c r="C7" s="13" t="s">
        <v>84</v>
      </c>
      <c r="D7" s="3" t="s">
        <v>94</v>
      </c>
      <c r="E7" s="21" t="n">
        <v>24</v>
      </c>
      <c r="F7" s="13" t="s">
        <v>95</v>
      </c>
      <c r="G7" s="16" t="s">
        <v>96</v>
      </c>
      <c r="H7" s="14" t="n">
        <f aca="false">E7*Materiais!C6*0.42*Premissas!C23</f>
        <v>25310.88</v>
      </c>
      <c r="I7" s="22" t="n">
        <f aca="false">Premissas!C20</f>
        <v>1.8</v>
      </c>
      <c r="J7" s="16" t="s">
        <v>97</v>
      </c>
      <c r="K7" s="23" t="s">
        <v>89</v>
      </c>
      <c r="L7" s="23" t="n">
        <v>3</v>
      </c>
    </row>
    <row r="8" customFormat="false" ht="15" hidden="false" customHeight="false" outlineLevel="0" collapsed="false">
      <c r="B8" s="17" t="n">
        <v>4</v>
      </c>
      <c r="C8" s="17" t="s">
        <v>84</v>
      </c>
      <c r="D8" s="7" t="s">
        <v>98</v>
      </c>
      <c r="E8" s="21" t="n">
        <v>28</v>
      </c>
      <c r="F8" s="17" t="s">
        <v>99</v>
      </c>
      <c r="G8" s="20" t="s">
        <v>100</v>
      </c>
      <c r="H8" s="18" t="n">
        <f aca="false">E8*Materiais!C6*0.42*Premissas!C23</f>
        <v>29529.36</v>
      </c>
      <c r="I8" s="24" t="n">
        <f aca="false">Premissas!C20</f>
        <v>1.8</v>
      </c>
      <c r="J8" s="20" t="s">
        <v>101</v>
      </c>
      <c r="K8" s="25" t="s">
        <v>102</v>
      </c>
      <c r="L8" s="25" t="n">
        <v>3</v>
      </c>
    </row>
    <row r="9" customFormat="false" ht="15" hidden="false" customHeight="false" outlineLevel="0" collapsed="false">
      <c r="B9" s="13" t="n">
        <v>5</v>
      </c>
      <c r="C9" s="13" t="s">
        <v>103</v>
      </c>
      <c r="D9" s="3" t="s">
        <v>104</v>
      </c>
      <c r="E9" s="21" t="n">
        <v>32</v>
      </c>
      <c r="F9" s="13" t="s">
        <v>105</v>
      </c>
      <c r="G9" s="16" t="s">
        <v>106</v>
      </c>
      <c r="H9" s="14" t="n">
        <f aca="false">E9*Materiais!C6*0.5*Premissas!C23</f>
        <v>40176</v>
      </c>
      <c r="I9" s="22" t="n">
        <f aca="false">Premissas!C20</f>
        <v>1.8</v>
      </c>
      <c r="J9" s="16" t="s">
        <v>107</v>
      </c>
      <c r="K9" s="23" t="s">
        <v>102</v>
      </c>
      <c r="L9" s="23" t="n">
        <v>3</v>
      </c>
    </row>
    <row r="10" customFormat="false" ht="15" hidden="false" customHeight="false" outlineLevel="0" collapsed="false">
      <c r="B10" s="17" t="n">
        <v>6</v>
      </c>
      <c r="C10" s="17" t="s">
        <v>103</v>
      </c>
      <c r="D10" s="7" t="s">
        <v>108</v>
      </c>
      <c r="E10" s="21" t="n">
        <v>38</v>
      </c>
      <c r="F10" s="17" t="s">
        <v>109</v>
      </c>
      <c r="G10" s="20" t="s">
        <v>110</v>
      </c>
      <c r="H10" s="18" t="n">
        <f aca="false">E10*Materiais!C6*0.5*Premissas!C23</f>
        <v>47709</v>
      </c>
      <c r="I10" s="24" t="n">
        <f aca="false">Premissas!C20</f>
        <v>1.8</v>
      </c>
      <c r="J10" s="20" t="s">
        <v>111</v>
      </c>
      <c r="K10" s="25" t="s">
        <v>102</v>
      </c>
      <c r="L10" s="25" t="n">
        <v>3</v>
      </c>
    </row>
    <row r="11" customFormat="false" ht="15" hidden="false" customHeight="false" outlineLevel="0" collapsed="false">
      <c r="B11" s="13" t="n">
        <v>7</v>
      </c>
      <c r="C11" s="13" t="s">
        <v>103</v>
      </c>
      <c r="D11" s="3" t="s">
        <v>112</v>
      </c>
      <c r="E11" s="21" t="n">
        <v>42</v>
      </c>
      <c r="F11" s="13" t="s">
        <v>113</v>
      </c>
      <c r="G11" s="16" t="s">
        <v>114</v>
      </c>
      <c r="H11" s="14" t="n">
        <f aca="false">E11*Materiais!C6*0.5*Premissas!C23</f>
        <v>52731</v>
      </c>
      <c r="I11" s="22" t="n">
        <f aca="false">Premissas!C20</f>
        <v>1.8</v>
      </c>
      <c r="J11" s="16" t="s">
        <v>115</v>
      </c>
      <c r="K11" s="23" t="s">
        <v>102</v>
      </c>
      <c r="L11" s="23" t="n">
        <v>3</v>
      </c>
    </row>
    <row r="12" customFormat="false" ht="15" hidden="false" customHeight="false" outlineLevel="0" collapsed="false">
      <c r="B12" s="17" t="n">
        <v>8</v>
      </c>
      <c r="C12" s="17" t="s">
        <v>103</v>
      </c>
      <c r="D12" s="7" t="s">
        <v>116</v>
      </c>
      <c r="E12" s="21" t="n">
        <v>48</v>
      </c>
      <c r="F12" s="17" t="s">
        <v>117</v>
      </c>
      <c r="G12" s="20" t="s">
        <v>118</v>
      </c>
      <c r="H12" s="18" t="n">
        <f aca="false">E12*Materiais!C6*0.5*Premissas!C23</f>
        <v>60264</v>
      </c>
      <c r="I12" s="24" t="n">
        <f aca="false">Premissas!C20</f>
        <v>1.8</v>
      </c>
      <c r="J12" s="20" t="s">
        <v>119</v>
      </c>
      <c r="K12" s="25" t="s">
        <v>102</v>
      </c>
      <c r="L12" s="25" t="n">
        <v>3</v>
      </c>
    </row>
    <row r="13" customFormat="false" ht="15" hidden="false" customHeight="false" outlineLevel="0" collapsed="false">
      <c r="B13" s="13" t="n">
        <v>9</v>
      </c>
      <c r="C13" s="13" t="s">
        <v>120</v>
      </c>
      <c r="D13" s="3" t="s">
        <v>121</v>
      </c>
      <c r="E13" s="21" t="n">
        <v>26</v>
      </c>
      <c r="F13" s="13" t="s">
        <v>122</v>
      </c>
      <c r="G13" s="16" t="s">
        <v>123</v>
      </c>
      <c r="H13" s="14" t="n">
        <f aca="false">E13*Materiais!C6*0.55*Premissas!C23</f>
        <v>35907.3</v>
      </c>
      <c r="I13" s="22" t="n">
        <f aca="false">Premissas!C20</f>
        <v>1.8</v>
      </c>
      <c r="J13" s="16" t="s">
        <v>124</v>
      </c>
      <c r="K13" s="23" t="s">
        <v>102</v>
      </c>
      <c r="L13" s="23" t="n">
        <v>3</v>
      </c>
    </row>
    <row r="14" customFormat="false" ht="15" hidden="false" customHeight="false" outlineLevel="0" collapsed="false">
      <c r="B14" s="17" t="n">
        <v>10</v>
      </c>
      <c r="C14" s="17" t="s">
        <v>120</v>
      </c>
      <c r="D14" s="7" t="s">
        <v>125</v>
      </c>
      <c r="E14" s="21" t="n">
        <v>34</v>
      </c>
      <c r="F14" s="17" t="s">
        <v>126</v>
      </c>
      <c r="G14" s="20" t="s">
        <v>127</v>
      </c>
      <c r="H14" s="18" t="n">
        <f aca="false">E14*Materiais!C6*0.55*Premissas!C23</f>
        <v>46955.7</v>
      </c>
      <c r="I14" s="24" t="n">
        <f aca="false">Premissas!C20</f>
        <v>1.8</v>
      </c>
      <c r="J14" s="20" t="s">
        <v>128</v>
      </c>
      <c r="K14" s="25" t="s">
        <v>102</v>
      </c>
      <c r="L14" s="25" t="n">
        <v>3</v>
      </c>
    </row>
    <row r="15" customFormat="false" ht="15" hidden="false" customHeight="false" outlineLevel="0" collapsed="false">
      <c r="B15" s="13" t="n">
        <v>11</v>
      </c>
      <c r="C15" s="13" t="s">
        <v>120</v>
      </c>
      <c r="D15" s="3" t="s">
        <v>129</v>
      </c>
      <c r="E15" s="21" t="n">
        <v>40</v>
      </c>
      <c r="F15" s="13" t="s">
        <v>130</v>
      </c>
      <c r="G15" s="16" t="s">
        <v>131</v>
      </c>
      <c r="H15" s="14" t="n">
        <f aca="false">E15*Materiais!C6*0.55*Premissas!C23</f>
        <v>55242</v>
      </c>
      <c r="I15" s="22" t="n">
        <f aca="false">Premissas!C20</f>
        <v>1.8</v>
      </c>
      <c r="J15" s="16" t="s">
        <v>132</v>
      </c>
      <c r="K15" s="23" t="s">
        <v>102</v>
      </c>
      <c r="L15" s="23" t="n">
        <v>3</v>
      </c>
    </row>
    <row r="16" customFormat="false" ht="23.85" hidden="false" customHeight="false" outlineLevel="0" collapsed="false">
      <c r="B16" s="17" t="n">
        <v>12</v>
      </c>
      <c r="C16" s="17" t="s">
        <v>120</v>
      </c>
      <c r="D16" s="7" t="s">
        <v>133</v>
      </c>
      <c r="E16" s="21" t="n">
        <v>44</v>
      </c>
      <c r="F16" s="17" t="s">
        <v>134</v>
      </c>
      <c r="G16" s="20" t="s">
        <v>135</v>
      </c>
      <c r="H16" s="18" t="n">
        <f aca="false">E16*Materiais!C6*0.55*Premissas!C23</f>
        <v>60766.2</v>
      </c>
      <c r="I16" s="24" t="n">
        <f aca="false">Premissas!C20</f>
        <v>1.8</v>
      </c>
      <c r="J16" s="20" t="s">
        <v>136</v>
      </c>
      <c r="K16" s="25" t="s">
        <v>102</v>
      </c>
      <c r="L16" s="25" t="n">
        <v>3</v>
      </c>
    </row>
    <row r="17" customFormat="false" ht="15" hidden="false" customHeight="false" outlineLevel="0" collapsed="false">
      <c r="B17" s="13" t="n">
        <v>13</v>
      </c>
      <c r="C17" s="13" t="s">
        <v>137</v>
      </c>
      <c r="D17" s="3" t="s">
        <v>138</v>
      </c>
      <c r="E17" s="21" t="n">
        <v>30</v>
      </c>
      <c r="F17" s="13" t="s">
        <v>139</v>
      </c>
      <c r="G17" s="16" t="s">
        <v>140</v>
      </c>
      <c r="H17" s="14" t="n">
        <f aca="false">E17*Materiais!C6*0.58*Premissas!C23</f>
        <v>43691.4</v>
      </c>
      <c r="I17" s="22" t="n">
        <f aca="false">Premissas!C20</f>
        <v>1.8</v>
      </c>
      <c r="J17" s="16" t="s">
        <v>141</v>
      </c>
      <c r="K17" s="23" t="s">
        <v>102</v>
      </c>
      <c r="L17" s="23" t="n">
        <v>3</v>
      </c>
    </row>
    <row r="18" customFormat="false" ht="15" hidden="false" customHeight="false" outlineLevel="0" collapsed="false">
      <c r="B18" s="17" t="n">
        <v>14</v>
      </c>
      <c r="C18" s="17" t="s">
        <v>137</v>
      </c>
      <c r="D18" s="7" t="s">
        <v>142</v>
      </c>
      <c r="E18" s="21" t="n">
        <v>36</v>
      </c>
      <c r="F18" s="17" t="s">
        <v>113</v>
      </c>
      <c r="G18" s="20" t="s">
        <v>143</v>
      </c>
      <c r="H18" s="18" t="n">
        <f aca="false">E18*Materiais!C6*0.58*Premissas!C23</f>
        <v>52429.68</v>
      </c>
      <c r="I18" s="24" t="n">
        <f aca="false">Premissas!C20</f>
        <v>1.8</v>
      </c>
      <c r="J18" s="20" t="s">
        <v>144</v>
      </c>
      <c r="K18" s="25" t="s">
        <v>102</v>
      </c>
      <c r="L18" s="25" t="n">
        <v>3</v>
      </c>
    </row>
    <row r="19" customFormat="false" ht="15" hidden="false" customHeight="false" outlineLevel="0" collapsed="false">
      <c r="B19" s="13" t="n">
        <v>15</v>
      </c>
      <c r="C19" s="13" t="s">
        <v>137</v>
      </c>
      <c r="D19" s="3" t="s">
        <v>145</v>
      </c>
      <c r="E19" s="21" t="n">
        <v>40</v>
      </c>
      <c r="F19" s="13" t="s">
        <v>146</v>
      </c>
      <c r="G19" s="16" t="s">
        <v>147</v>
      </c>
      <c r="H19" s="14" t="n">
        <f aca="false">E19*Materiais!C6*0.58*Premissas!C23</f>
        <v>58255.2</v>
      </c>
      <c r="I19" s="22" t="n">
        <f aca="false">Premissas!C20</f>
        <v>1.8</v>
      </c>
      <c r="J19" s="16" t="s">
        <v>148</v>
      </c>
      <c r="K19" s="23" t="s">
        <v>102</v>
      </c>
      <c r="L19" s="23" t="n">
        <v>3</v>
      </c>
    </row>
    <row r="20" customFormat="false" ht="15" hidden="false" customHeight="false" outlineLevel="0" collapsed="false">
      <c r="B20" s="17" t="n">
        <v>16</v>
      </c>
      <c r="C20" s="17" t="s">
        <v>137</v>
      </c>
      <c r="D20" s="7" t="s">
        <v>149</v>
      </c>
      <c r="E20" s="21" t="n">
        <v>46</v>
      </c>
      <c r="F20" s="17" t="s">
        <v>117</v>
      </c>
      <c r="G20" s="20" t="s">
        <v>150</v>
      </c>
      <c r="H20" s="18" t="n">
        <f aca="false">E20*Materiais!C6*0.58*Premissas!C23</f>
        <v>66993.48</v>
      </c>
      <c r="I20" s="24" t="n">
        <f aca="false">Premissas!C20</f>
        <v>1.8</v>
      </c>
      <c r="J20" s="20" t="s">
        <v>151</v>
      </c>
      <c r="K20" s="25" t="s">
        <v>102</v>
      </c>
      <c r="L20" s="25" t="n">
        <v>3</v>
      </c>
    </row>
    <row r="21" customFormat="false" ht="15" hidden="false" customHeight="false" outlineLevel="0" collapsed="false">
      <c r="B21" s="13" t="n">
        <v>17</v>
      </c>
      <c r="C21" s="13" t="s">
        <v>152</v>
      </c>
      <c r="D21" s="3" t="s">
        <v>153</v>
      </c>
      <c r="E21" s="21" t="n">
        <v>22</v>
      </c>
      <c r="F21" s="13" t="s">
        <v>154</v>
      </c>
      <c r="G21" s="16" t="s">
        <v>155</v>
      </c>
      <c r="H21" s="14" t="n">
        <f aca="false">E21*Materiais!C6*0.62*Premissas!C23</f>
        <v>34250.04</v>
      </c>
      <c r="I21" s="22" t="n">
        <f aca="false">Premissas!C20</f>
        <v>1.8</v>
      </c>
      <c r="J21" s="16" t="s">
        <v>156</v>
      </c>
      <c r="K21" s="23" t="s">
        <v>102</v>
      </c>
      <c r="L21" s="23" t="n">
        <v>3</v>
      </c>
    </row>
    <row r="22" customFormat="false" ht="15" hidden="false" customHeight="false" outlineLevel="0" collapsed="false">
      <c r="B22" s="17" t="n">
        <v>18</v>
      </c>
      <c r="C22" s="17" t="s">
        <v>152</v>
      </c>
      <c r="D22" s="7" t="s">
        <v>157</v>
      </c>
      <c r="E22" s="21" t="n">
        <v>28</v>
      </c>
      <c r="F22" s="17" t="s">
        <v>95</v>
      </c>
      <c r="G22" s="20" t="s">
        <v>158</v>
      </c>
      <c r="H22" s="18" t="n">
        <f aca="false">E22*Materiais!C6*0.62*Premissas!C23</f>
        <v>43590.96</v>
      </c>
      <c r="I22" s="24" t="n">
        <f aca="false">Premissas!C20</f>
        <v>1.8</v>
      </c>
      <c r="J22" s="20" t="s">
        <v>159</v>
      </c>
      <c r="K22" s="25" t="s">
        <v>102</v>
      </c>
      <c r="L22" s="25" t="n">
        <v>3</v>
      </c>
    </row>
    <row r="23" customFormat="false" ht="15" hidden="false" customHeight="false" outlineLevel="0" collapsed="false">
      <c r="B23" s="13" t="n">
        <v>19</v>
      </c>
      <c r="C23" s="13" t="s">
        <v>152</v>
      </c>
      <c r="D23" s="3" t="s">
        <v>160</v>
      </c>
      <c r="E23" s="21" t="n">
        <v>34</v>
      </c>
      <c r="F23" s="13" t="s">
        <v>161</v>
      </c>
      <c r="G23" s="16" t="s">
        <v>162</v>
      </c>
      <c r="H23" s="14" t="n">
        <f aca="false">E23*Materiais!C6*0.62*Premissas!C23</f>
        <v>52931.88</v>
      </c>
      <c r="I23" s="22" t="n">
        <f aca="false">Premissas!C20</f>
        <v>1.8</v>
      </c>
      <c r="J23" s="16" t="s">
        <v>163</v>
      </c>
      <c r="K23" s="23" t="s">
        <v>102</v>
      </c>
      <c r="L23" s="23" t="n">
        <v>3</v>
      </c>
    </row>
    <row r="24" customFormat="false" ht="15" hidden="false" customHeight="false" outlineLevel="0" collapsed="false">
      <c r="B24" s="17" t="n">
        <v>20</v>
      </c>
      <c r="C24" s="17" t="s">
        <v>152</v>
      </c>
      <c r="D24" s="7" t="s">
        <v>164</v>
      </c>
      <c r="E24" s="21" t="n">
        <v>40</v>
      </c>
      <c r="F24" s="17" t="s">
        <v>165</v>
      </c>
      <c r="G24" s="20" t="s">
        <v>166</v>
      </c>
      <c r="H24" s="18" t="n">
        <f aca="false">E24*Materiais!C6*0.62*Premissas!C23</f>
        <v>62272.8</v>
      </c>
      <c r="I24" s="24" t="n">
        <f aca="false">Premissas!C20</f>
        <v>1.8</v>
      </c>
      <c r="J24" s="20" t="s">
        <v>167</v>
      </c>
      <c r="K24" s="25" t="s">
        <v>102</v>
      </c>
      <c r="L24" s="25" t="n">
        <v>3</v>
      </c>
    </row>
    <row r="25" customFormat="false" ht="15" hidden="false" customHeight="false" outlineLevel="0" collapsed="false">
      <c r="B25" s="13" t="n">
        <v>21</v>
      </c>
      <c r="C25" s="13" t="s">
        <v>168</v>
      </c>
      <c r="D25" s="3" t="s">
        <v>169</v>
      </c>
      <c r="E25" s="21" t="n">
        <v>24</v>
      </c>
      <c r="F25" s="13" t="s">
        <v>170</v>
      </c>
      <c r="G25" s="16" t="s">
        <v>171</v>
      </c>
      <c r="H25" s="14" t="n">
        <f aca="false">E25*Materiais!C6*0.7*Premissas!C23</f>
        <v>42184.8</v>
      </c>
      <c r="I25" s="22" t="n">
        <f aca="false">Premissas!C20</f>
        <v>1.8</v>
      </c>
      <c r="J25" s="16" t="s">
        <v>172</v>
      </c>
      <c r="K25" s="23" t="s">
        <v>102</v>
      </c>
      <c r="L25" s="23" t="n">
        <v>3</v>
      </c>
    </row>
    <row r="26" customFormat="false" ht="15" hidden="false" customHeight="false" outlineLevel="0" collapsed="false">
      <c r="B26" s="17" t="n">
        <v>22</v>
      </c>
      <c r="C26" s="17" t="s">
        <v>168</v>
      </c>
      <c r="D26" s="7" t="s">
        <v>173</v>
      </c>
      <c r="E26" s="21" t="n">
        <v>30</v>
      </c>
      <c r="F26" s="17" t="s">
        <v>113</v>
      </c>
      <c r="G26" s="20" t="s">
        <v>174</v>
      </c>
      <c r="H26" s="18" t="n">
        <f aca="false">E26*Materiais!C6*0.7*Premissas!C23</f>
        <v>52731</v>
      </c>
      <c r="I26" s="24" t="n">
        <f aca="false">Premissas!C20</f>
        <v>1.8</v>
      </c>
      <c r="J26" s="20" t="s">
        <v>175</v>
      </c>
      <c r="K26" s="25" t="s">
        <v>102</v>
      </c>
      <c r="L26" s="25" t="n">
        <v>3</v>
      </c>
    </row>
    <row r="27" customFormat="false" ht="15" hidden="false" customHeight="false" outlineLevel="0" collapsed="false">
      <c r="B27" s="13" t="n">
        <v>23</v>
      </c>
      <c r="C27" s="13" t="s">
        <v>168</v>
      </c>
      <c r="D27" s="3" t="s">
        <v>176</v>
      </c>
      <c r="E27" s="21" t="n">
        <v>36</v>
      </c>
      <c r="F27" s="13" t="s">
        <v>139</v>
      </c>
      <c r="G27" s="16" t="s">
        <v>177</v>
      </c>
      <c r="H27" s="14" t="n">
        <f aca="false">E27*Materiais!C6*0.7*Premissas!C23</f>
        <v>63277.2</v>
      </c>
      <c r="I27" s="22" t="n">
        <f aca="false">Premissas!C20</f>
        <v>1.8</v>
      </c>
      <c r="J27" s="16" t="s">
        <v>178</v>
      </c>
      <c r="K27" s="23" t="s">
        <v>102</v>
      </c>
      <c r="L27" s="23" t="n">
        <v>3</v>
      </c>
    </row>
    <row r="28" customFormat="false" ht="15" hidden="false" customHeight="false" outlineLevel="0" collapsed="false">
      <c r="B28" s="17" t="n">
        <v>24</v>
      </c>
      <c r="C28" s="17" t="s">
        <v>168</v>
      </c>
      <c r="D28" s="7" t="s">
        <v>179</v>
      </c>
      <c r="E28" s="21" t="n">
        <v>52</v>
      </c>
      <c r="F28" s="17" t="s">
        <v>180</v>
      </c>
      <c r="G28" s="20" t="s">
        <v>181</v>
      </c>
      <c r="H28" s="18" t="n">
        <f aca="false">E28*Materiais!C6*0.7*Premissas!C23</f>
        <v>91400.4</v>
      </c>
      <c r="I28" s="24" t="n">
        <f aca="false">Premissas!C20</f>
        <v>1.8</v>
      </c>
      <c r="J28" s="20" t="s">
        <v>182</v>
      </c>
      <c r="K28" s="25" t="s">
        <v>102</v>
      </c>
      <c r="L28" s="25" t="n">
        <v>3</v>
      </c>
    </row>
    <row r="48" customFormat="false" ht="15" hidden="false" customHeight="false" outlineLevel="0" collapsed="false">
      <c r="B48" s="11" t="s">
        <v>183</v>
      </c>
    </row>
  </sheetData>
  <autoFilter ref="B4:L28"/>
  <mergeCells count="1">
    <mergeCell ref="B2:L2"/>
  </mergeCells>
  <conditionalFormatting sqref="E5:E28">
    <cfRule type="colorScale" priority="2">
      <colorScale>
        <cfvo type="min" val="0"/>
        <cfvo type="percentile" val="50"/>
        <cfvo type="max" val="0"/>
        <color rgb="FFD4F5E9"/>
        <color rgb="FFFFF3BF"/>
        <color rgb="FFF5C6CB"/>
      </colorScale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&amp;LPRANCHA — economia e progressão</oddHeader>
    <oddFooter>&amp;RPág.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84A"/>
    <pageSetUpPr fitToPage="tru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42"/>
  </cols>
  <sheetData>
    <row r="2" customFormat="false" ht="27.75" hidden="false" customHeight="true" outlineLevel="0" collapsed="false">
      <c r="B2" s="12" t="s">
        <v>184</v>
      </c>
      <c r="C2" s="12"/>
      <c r="D2" s="12"/>
      <c r="E2" s="12"/>
      <c r="F2" s="12"/>
    </row>
    <row r="4" customFormat="false" ht="15" hidden="false" customHeight="false" outlineLevel="0" collapsed="false">
      <c r="B4" s="2" t="s">
        <v>185</v>
      </c>
      <c r="C4" s="2" t="s">
        <v>186</v>
      </c>
      <c r="D4" s="2" t="s">
        <v>187</v>
      </c>
    </row>
    <row r="5" customFormat="false" ht="15" hidden="false" customHeight="false" outlineLevel="0" collapsed="false">
      <c r="B5" s="26" t="s">
        <v>188</v>
      </c>
      <c r="C5" s="9" t="s">
        <v>189</v>
      </c>
      <c r="D5" s="9" t="s">
        <v>190</v>
      </c>
    </row>
    <row r="6" customFormat="false" ht="15" hidden="false" customHeight="false" outlineLevel="0" collapsed="false">
      <c r="B6" s="27" t="s">
        <v>191</v>
      </c>
      <c r="C6" s="28" t="s">
        <v>192</v>
      </c>
      <c r="D6" s="28" t="s">
        <v>193</v>
      </c>
    </row>
    <row r="7" customFormat="false" ht="15" hidden="false" customHeight="false" outlineLevel="0" collapsed="false">
      <c r="B7" s="29" t="s">
        <v>194</v>
      </c>
      <c r="C7" s="30" t="s">
        <v>195</v>
      </c>
      <c r="D7" s="30" t="s">
        <v>196</v>
      </c>
    </row>
    <row r="9" customFormat="false" ht="15" hidden="false" customHeight="false" outlineLevel="0" collapsed="false">
      <c r="B9" s="31" t="s">
        <v>197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&amp;LPRANCHA — economia e progressão</oddHeader>
    <oddFooter>&amp;RPág.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C8E3"/>
    <pageSetUpPr fitToPage="tru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0"/>
    <col collapsed="false" customWidth="true" hidden="false" outlineLevel="0" max="4" min="4" style="0" width="52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2" t="s">
        <v>198</v>
      </c>
      <c r="C2" s="12"/>
      <c r="D2" s="12"/>
      <c r="E2" s="12"/>
    </row>
    <row r="4" customFormat="false" ht="15" hidden="false" customHeight="false" outlineLevel="0" collapsed="false">
      <c r="B4" s="2" t="s">
        <v>199</v>
      </c>
      <c r="C4" s="2" t="s">
        <v>200</v>
      </c>
      <c r="D4" s="2" t="s">
        <v>201</v>
      </c>
      <c r="E4" s="2" t="s">
        <v>202</v>
      </c>
    </row>
    <row r="5" customFormat="false" ht="15" hidden="false" customHeight="false" outlineLevel="0" collapsed="false">
      <c r="B5" s="5" t="s">
        <v>203</v>
      </c>
      <c r="C5" s="5" t="s">
        <v>204</v>
      </c>
      <c r="D5" s="6" t="s">
        <v>205</v>
      </c>
      <c r="E5" s="6" t="s">
        <v>206</v>
      </c>
    </row>
    <row r="6" customFormat="false" ht="15" hidden="false" customHeight="false" outlineLevel="0" collapsed="false">
      <c r="B6" s="8" t="s">
        <v>207</v>
      </c>
      <c r="C6" s="8" t="s">
        <v>204</v>
      </c>
      <c r="D6" s="9" t="s">
        <v>208</v>
      </c>
      <c r="E6" s="9" t="s">
        <v>209</v>
      </c>
    </row>
    <row r="7" customFormat="false" ht="15" hidden="false" customHeight="false" outlineLevel="0" collapsed="false">
      <c r="B7" s="5" t="s">
        <v>210</v>
      </c>
      <c r="C7" s="5" t="s">
        <v>204</v>
      </c>
      <c r="D7" s="6" t="s">
        <v>211</v>
      </c>
      <c r="E7" s="6" t="s">
        <v>212</v>
      </c>
    </row>
    <row r="8" customFormat="false" ht="15" hidden="false" customHeight="false" outlineLevel="0" collapsed="false">
      <c r="B8" s="8" t="s">
        <v>213</v>
      </c>
      <c r="C8" s="8" t="s">
        <v>204</v>
      </c>
      <c r="D8" s="9" t="s">
        <v>214</v>
      </c>
      <c r="E8" s="9" t="s">
        <v>215</v>
      </c>
    </row>
    <row r="9" customFormat="false" ht="15" hidden="false" customHeight="false" outlineLevel="0" collapsed="false">
      <c r="B9" s="5" t="s">
        <v>216</v>
      </c>
      <c r="C9" s="5" t="s">
        <v>217</v>
      </c>
      <c r="D9" s="6" t="s">
        <v>218</v>
      </c>
      <c r="E9" s="6" t="s">
        <v>219</v>
      </c>
    </row>
    <row r="10" customFormat="false" ht="15" hidden="false" customHeight="false" outlineLevel="0" collapsed="false">
      <c r="B10" s="8" t="s">
        <v>220</v>
      </c>
      <c r="C10" s="8" t="s">
        <v>217</v>
      </c>
      <c r="D10" s="9" t="s">
        <v>221</v>
      </c>
      <c r="E10" s="9" t="s">
        <v>222</v>
      </c>
    </row>
    <row r="11" customFormat="false" ht="15" hidden="false" customHeight="false" outlineLevel="0" collapsed="false">
      <c r="B11" s="5" t="s">
        <v>223</v>
      </c>
      <c r="C11" s="5" t="s">
        <v>224</v>
      </c>
      <c r="D11" s="6" t="s">
        <v>225</v>
      </c>
      <c r="E11" s="6" t="s">
        <v>226</v>
      </c>
    </row>
    <row r="12" customFormat="false" ht="15" hidden="false" customHeight="false" outlineLevel="0" collapsed="false">
      <c r="B12" s="8" t="s">
        <v>227</v>
      </c>
      <c r="C12" s="8" t="s">
        <v>224</v>
      </c>
      <c r="D12" s="9" t="s">
        <v>228</v>
      </c>
      <c r="E12" s="9" t="s">
        <v>229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&amp;LPRANCHA — economia e progressão</oddHeader>
    <oddFooter>&amp;RPág.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2026-09-02T20:54:33Z</dcterms:created>
  <dc:creator>openpyxl</dc:creator>
  <dc:description/>
  <dc:language>en-US</dc:language>
  <cp:lastModifiedBy/>
  <dcterms:modified xsi:type="dcterms:W3CDTF">2026-09-02T20:54:40Z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